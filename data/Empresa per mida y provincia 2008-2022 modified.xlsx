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relevantdata\"/>
    </mc:Choice>
  </mc:AlternateContent>
  <xr:revisionPtr revIDLastSave="0" documentId="13_ncr:1_{B75F47F4-C8DF-4DBC-96BD-47D133C717E3}" xr6:coauthVersionLast="47" xr6:coauthVersionMax="47" xr10:uidLastSave="{00000000-0000-0000-0000-000000000000}"/>
  <bookViews>
    <workbookView xWindow="-108" yWindow="-108" windowWidth="23256" windowHeight="12456" xr2:uid="{4EEA3490-7564-45D2-A2CA-A64496852B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H5" i="1"/>
  <c r="AF3" i="1" l="1"/>
  <c r="AH11" i="1"/>
  <c r="AH13" i="1"/>
  <c r="AH10" i="1"/>
  <c r="AJ12" i="1"/>
  <c r="AF12" i="1"/>
  <c r="AH12" i="1"/>
  <c r="AF13" i="1"/>
  <c r="AJ11" i="1"/>
  <c r="AF11" i="1"/>
  <c r="AJ13" i="1"/>
  <c r="AJ10" i="1"/>
  <c r="AF10" i="1"/>
  <c r="AF8" i="1"/>
  <c r="AF6" i="1"/>
  <c r="AF9" i="1"/>
  <c r="AF19" i="1"/>
  <c r="AF5" i="1"/>
  <c r="AF21" i="1"/>
  <c r="AF7" i="1"/>
  <c r="AF17" i="1"/>
  <c r="AF24" i="1"/>
  <c r="AF16" i="1"/>
  <c r="AF4" i="1"/>
  <c r="AF23" i="1"/>
  <c r="AF15" i="1"/>
  <c r="AF2" i="1"/>
  <c r="AF20" i="1"/>
  <c r="AF18" i="1"/>
  <c r="AF22" i="1"/>
  <c r="AF14" i="1"/>
  <c r="AJ9" i="1"/>
  <c r="AJ20" i="1"/>
  <c r="AJ8" i="1"/>
  <c r="AJ19" i="1"/>
  <c r="AJ7" i="1"/>
  <c r="AJ6" i="1"/>
  <c r="AJ21" i="1"/>
  <c r="AJ17" i="1"/>
  <c r="AJ5" i="1"/>
  <c r="AJ16" i="1"/>
  <c r="AJ4" i="1"/>
  <c r="AJ23" i="1"/>
  <c r="AJ15" i="1"/>
  <c r="AJ3" i="1"/>
  <c r="AJ18" i="1"/>
  <c r="AJ24" i="1"/>
  <c r="AJ22" i="1"/>
  <c r="AJ14" i="1"/>
  <c r="AH9" i="1"/>
  <c r="AH4" i="1"/>
  <c r="AH15" i="1"/>
  <c r="AH14" i="1"/>
  <c r="AH20" i="1"/>
  <c r="AH8" i="1"/>
  <c r="AH21" i="1"/>
  <c r="AH19" i="1"/>
  <c r="AH7" i="1"/>
  <c r="AH24" i="1"/>
  <c r="AH3" i="1"/>
  <c r="AH2" i="1"/>
  <c r="AH18" i="1"/>
  <c r="AH6" i="1"/>
  <c r="AH16" i="1"/>
  <c r="AH23" i="1"/>
  <c r="AH22" i="1"/>
  <c r="AH17" i="1"/>
</calcChain>
</file>

<file path=xl/sharedStrings.xml><?xml version="1.0" encoding="utf-8"?>
<sst xmlns="http://schemas.openxmlformats.org/spreadsheetml/2006/main" count="84" uniqueCount="61">
  <si>
    <t>CCAA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</si>
  <si>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</si>
  <si>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</si>
  <si>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</si>
  <si>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</si>
  <si>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</si>
  <si>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</si>
  <si>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</si>
  <si>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</si>
  <si>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Cataluña</t>
  </si>
  <si>
    <t>Ceuta</t>
  </si>
  <si>
    <t>Comunitat Valenciana</t>
  </si>
  <si>
    <t>Extremadura</t>
  </si>
  <si>
    <t>Galicia</t>
  </si>
  <si>
    <t>Madrid, Comunidad de</t>
  </si>
  <si>
    <t>Melilla</t>
  </si>
  <si>
    <t>Murcia, Región de</t>
  </si>
  <si>
    <t>Navarra, Comunidad Foral de</t>
  </si>
  <si>
    <t>País Vasco</t>
  </si>
  <si>
    <t>Rioja, La</t>
  </si>
  <si>
    <t>Totales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</si>
  <si>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</si>
  <si>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</si>
  <si>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</si>
  <si>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</si>
  <si>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</si>
  <si>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</si>
  <si>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</si>
  <si>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</si>
  <si>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</si>
  <si>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</si>
  <si>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</si>
  <si>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</si>
  <si>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</si>
  <si>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</si>
  <si>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2009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</si>
  <si>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</si>
  <si>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</si>
  <si>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</si>
  <si>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</si>
  <si>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</si>
  <si>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</si>
  <si>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</si>
  <si>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</si>
  <si>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</si>
  <si>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</si>
  <si>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</si>
  <si>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</si>
  <si>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</si>
  <si>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</si>
  <si>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2023</t>
  </si>
  <si>
    <t>2024</t>
  </si>
  <si>
    <t>2024 Total</t>
  </si>
  <si>
    <t>2025</t>
  </si>
  <si>
    <t>2025 Total</t>
  </si>
  <si>
    <t>Barcelona</t>
  </si>
  <si>
    <t>Girona</t>
  </si>
  <si>
    <t>Lleida</t>
  </si>
  <si>
    <t>Tarragona</t>
  </si>
  <si>
    <t>Provincia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</si>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</sst>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0" applyNumberFormat="1"/>
    <xf numFmtId="3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2" fillId="0" borderId="1" xfId="0" applyFont="1" applyBorder="1"/>
    <xf numFmtId="0" fontId="0" fillId="2" borderId="0" xfId="0" applyFill="1"/>
    <xf numFmtId="10" fontId="0" fillId="2" borderId="0" xfId="0" applyNumberFormat="1" applyFill="1"/>
    <xf numFmtId="0" fontId="0" fillId="0" borderId="2" xfId="0" applyBorder="1"/>
    <xf numFmtId="0" fontId="0" fillId="0" borderId="3" xfId="0" applyBorder="1"/>
    <xf numFmtId="3" fontId="0" fillId="0" borderId="3" xfId="0" applyNumberFormat="1" applyBorder="1"/>
    <xf numFmtId="10" fontId="0" fillId="0" borderId="3" xfId="0" applyNumberFormat="1" applyBorder="1"/>
    <xf numFmtId="10" fontId="0" fillId="0" borderId="4" xfId="0" applyNumberFormat="1" applyBorder="1"/>
  </cellXfs>
  <cellStyles count="2">
    <cellStyle name="Normal" xfId="0" builtinId="0"/>
    <cellStyle name="Porcentaje" xfId="1" builtinId="5"/>
  </cellStyles>
  <dxfs count="34"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3" formatCode="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0EC68-19BA-4464-83D5-383EB5095EE8}" name="Tabla3" displayName="Tabla3" ref="B1:AJ24" totalsRowShown="0">
  <autoFilter ref="B1:AJ24" xr:uid="{D2E0EC68-19BA-4464-83D5-383EB5095EE8}"/>
  <tableColumns count="35">
    <tableColumn id="1" xr3:uid="{9FF7690B-9B58-47DD-93B4-2AD364DD364C}" name="Provincia"/>
    <tableColumn id="3" xr3:uid="{70D8EE39-37EE-4F83-9B2C-227562306278}" name="2009 Total" dataDxfId="33"/>
    <tableColumn id="4" xr3:uid="{A9C018CB-08B1-4695-BF8C-A56834EC8959}" name="2009" dataDxfId="32"/>
    <tableColumn id="5" xr3:uid="{C4F9F55E-020A-4923-A847-B6988BE6806D}" name="2010 Total" dataDxfId="31"/>
    <tableColumn id="6" xr3:uid="{64E1F07B-8418-4A7F-B398-D7576C41FCDE}" name="2010" dataDxfId="30"/>
    <tableColumn id="7" xr3:uid="{7BF900C5-1BCE-4194-921F-FA9598D9218E}" name="2011 Total" dataDxfId="29"/>
    <tableColumn id="8" xr3:uid="{0F3C116A-CF4B-4332-A0AA-374C6D7A7D9D}" name="2011" dataDxfId="28"/>
    <tableColumn id="9" xr3:uid="{394C09D3-8F0F-4304-B6C2-3D178C8C2C63}" name="2012 Total" dataDxfId="27"/>
    <tableColumn id="10" xr3:uid="{48118446-528A-4885-A145-39E806357A21}" name="2012" dataDxfId="26"/>
    <tableColumn id="11" xr3:uid="{37AD4F74-804B-4611-ACDE-70A862F9714A}" name="2013 Total" dataDxfId="25"/>
    <tableColumn id="12" xr3:uid="{D1509ECA-BBFC-41E3-8588-C8ED4201D9F8}" name="2013" dataDxfId="24"/>
    <tableColumn id="13" xr3:uid="{2C372042-5D87-4697-A9C5-AA8DDC0DDB40}" name="2014 Total" dataDxfId="23"/>
    <tableColumn id="14" xr3:uid="{4864C0A3-1880-4528-8B61-C42880A6660F}" name="2014" dataDxfId="22"/>
    <tableColumn id="15" xr3:uid="{F48F6E79-480C-4A64-A862-8BE1FC6F7D05}" name="2015 Total" dataDxfId="21"/>
    <tableColumn id="16" xr3:uid="{32B6128D-E569-4961-B5E8-AD538FC6DF04}" name="2015" dataDxfId="20"/>
    <tableColumn id="17" xr3:uid="{0D20C732-84F9-480C-BC01-371C0B292F54}" name="2016 Total" dataDxfId="19"/>
    <tableColumn id="18" xr3:uid="{A2042F41-9A04-4D7A-94B9-48BCAA48BDF5}" name="2016" dataDxfId="18"/>
    <tableColumn id="19" xr3:uid="{7DFA5C4B-5692-4BB7-B522-DCCDCA7BCECE}" name="2017 Total" dataDxfId="17"/>
    <tableColumn id="20" xr3:uid="{C488F04A-CD88-467C-BA7C-D3538294E1DC}" name="2017" dataDxfId="16"/>
    <tableColumn id="21" xr3:uid="{345FB929-AF6C-46FA-84C9-5744DCFB62C6}" name="2018 Total" dataDxfId="15"/>
    <tableColumn id="22" xr3:uid="{D2AD3E47-F95D-4232-ABFC-6F3E41C73685}" name="2018" dataDxfId="14"/>
    <tableColumn id="23" xr3:uid="{C16183F4-E358-48F7-AF0A-887D1AFAE0F0}" name="2019 Total" dataDxfId="13"/>
    <tableColumn id="24" xr3:uid="{2787E821-E9A5-43A3-A290-CDAB67E35B81}" name="2019" dataDxfId="12"/>
    <tableColumn id="25" xr3:uid="{2E64DE1D-4802-421F-80E0-823D79C914DA}" name="2020 Total" dataDxfId="11"/>
    <tableColumn id="26" xr3:uid="{995CE861-9ECB-47E1-B2F9-CFBD3E844EB0}" name="2020" dataDxfId="10"/>
    <tableColumn id="27" xr3:uid="{41799A0F-E964-44CA-85F6-C8B19D6E02C6}" name="2021 Total" dataDxfId="9"/>
    <tableColumn id="28" xr3:uid="{FC6A0AE6-8CB2-440C-BD10-8349418FED00}" name="2021" dataDxfId="8"/>
    <tableColumn id="29" xr3:uid="{2A188183-6301-416B-9DDF-B90D2E342348}" name="2022 Total" dataDxfId="7"/>
    <tableColumn id="30" xr3:uid="{E02CDF3D-C0DF-4F60-A315-235625776788}" name="2022" dataDxfId="6"/>
    <tableColumn id="31" xr3:uid="{F9C0A87E-4E53-4560-8C13-A96C778F2975}" name="2023 Total" dataDxfId="5"/>
    <tableColumn id="32" xr3:uid="{FE5CA5E1-E3AB-48FB-8F82-7BE52BAABEFF}" name="2023" dataDxfId="4">
      <calculatedColumnFormula>Tabla3[[#This Row],[2023 Total]]/$AE$25</calculatedColumnFormula>
    </tableColumn>
    <tableColumn id="33" xr3:uid="{0643BA1B-54E0-42E6-A3FB-6E4BA7DE0AAD}" name="2024 Total" dataDxfId="3"/>
    <tableColumn id="34" xr3:uid="{17DDC7A6-5C51-49F7-9C3D-6FE907BAFA44}" name="2024" dataDxfId="2">
      <calculatedColumnFormula>Tabla3[[#This Row],[2024 Total]]/$AG$25</calculatedColumnFormula>
    </tableColumn>
    <tableColumn id="35" xr3:uid="{8692C473-ACEF-4DE9-9F55-59BB96D183F2}" name="2025 Total" dataDxfId="1"/>
    <tableColumn id="36" xr3:uid="{BB829C88-B1D9-4049-B045-E4715C7AC694}" name="2025" dataDxfId="0">
      <calculatedColumnFormula>Tabla3[[#This Row],[2025 Total]]/$AI$25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989E-A2FA-40A6-BE6E-50CA55C495A5}">
  <dimension ref="A1:AJ25"/>
  <sheetViews>
    <sheetView tabSelected="1" zoomScale="106" zoomScaleNormal="52" workbookViewId="0">
      <pane xSplit="2" ySplit="1" topLeftCell="X4" activePane="bottomRight" state="frozen"/>
      <selection pane="topRight" activeCell="C1" sqref="C1"/>
      <selection pane="bottomLeft" activeCell="A2" sqref="A2"/>
      <selection pane="bottomRight" activeCell="W27" sqref="W27"/>
    </sheetView>
  </sheetViews>
  <sheetFormatPr baseColWidth="10" defaultRowHeight="14.4" x14ac:dyDescent="0.3"/>
  <cols>
    <col min="1" max="1" width="24.6640625" bestFit="1" customWidth="1"/>
    <col min="2" max="2" width="11" bestFit="1" customWidth="1"/>
    <col min="3" max="3" width="11.6640625" bestFit="1" customWidth="1"/>
    <col min="4" max="4" width="8.21875" bestFit="1" customWidth="1"/>
    <col min="5" max="5" width="11.6640625" bestFit="1" customWidth="1"/>
    <col min="6" max="6" width="8.21875" bestFit="1" customWidth="1"/>
    <col min="7" max="7" width="11.6640625" style="2" bestFit="1" customWidth="1"/>
    <col min="8" max="8" width="8.21875" style="1" bestFit="1" customWidth="1"/>
    <col min="9" max="9" width="11.6640625" style="2" bestFit="1" customWidth="1"/>
    <col min="10" max="10" width="8.21875" style="1" bestFit="1" customWidth="1"/>
    <col min="11" max="11" width="11.6640625" style="2" bestFit="1" customWidth="1"/>
    <col min="12" max="12" width="8.21875" style="1" bestFit="1" customWidth="1"/>
    <col min="13" max="13" width="11.6640625" style="2" bestFit="1" customWidth="1"/>
    <col min="14" max="14" width="8.21875" style="1" bestFit="1" customWidth="1"/>
    <col min="15" max="15" width="11.6640625" style="2" bestFit="1" customWidth="1"/>
    <col min="16" max="16" width="8.21875" style="1" bestFit="1" customWidth="1"/>
    <col min="17" max="17" width="11.6640625" style="2" bestFit="1" customWidth="1"/>
    <col min="18" max="18" width="8.21875" style="1" bestFit="1" customWidth="1"/>
    <col min="19" max="19" width="11.6640625" style="2" bestFit="1" customWidth="1"/>
    <col min="20" max="20" width="8.21875" style="1" bestFit="1" customWidth="1"/>
    <col min="21" max="21" width="11.6640625" style="2" bestFit="1" customWidth="1"/>
    <col min="22" max="22" width="8.21875" style="1" bestFit="1" customWidth="1"/>
    <col min="23" max="23" width="11.6640625" style="2" bestFit="1" customWidth="1"/>
    <col min="24" max="24" width="8.21875" style="1" bestFit="1" customWidth="1"/>
    <col min="25" max="25" width="11.6640625" style="2" bestFit="1" customWidth="1"/>
    <col min="26" max="26" width="8.21875" style="1" bestFit="1" customWidth="1"/>
    <col min="27" max="27" width="11.6640625" style="2" bestFit="1" customWidth="1"/>
    <col min="28" max="28" width="8.21875" style="1" bestFit="1" customWidth="1"/>
    <col min="29" max="29" width="11.6640625" style="2" bestFit="1" customWidth="1"/>
    <col min="30" max="30" width="8.21875" style="1" bestFit="1" customWidth="1"/>
    <col min="31" max="31" width="11.6640625" bestFit="1" customWidth="1"/>
    <col min="32" max="32" width="8.21875" bestFit="1" customWidth="1"/>
    <col min="33" max="33" width="11.6640625" bestFit="1" customWidth="1"/>
    <col min="34" max="34" width="8.21875" bestFit="1" customWidth="1"/>
    <col min="35" max="35" width="11.6640625" bestFit="1" customWidth="1"/>
    <col min="36" max="36" width="8.21875" bestFit="1" customWidth="1"/>
  </cols>
  <sheetData>
    <row r="1" spans="1:36" x14ac:dyDescent="0.3">
      <c r="A1" s="5" t="s">
        <v>0</v>
      </c>
      <c r="B1" t="s">
        <v>59</v>
      </c>
      <c r="C1" t="s">
        <v>35</v>
      </c>
      <c r="D1" t="s">
        <v>21</v>
      </c>
      <c r="E1" t="s">
        <v>36</v>
      </c>
      <c r="F1" t="s">
        <v>22</v>
      </c>
      <c r="G1" s="2" t="s">
        <v>37</v>
      </c>
      <c r="H1" s="1" t="s">
        <v>23</v>
      </c>
      <c r="I1" s="2" t="s">
        <v>38</v>
      </c>
      <c r="J1" s="1" t="s">
        <v>24</v>
      </c>
      <c r="K1" s="2" t="s">
        <v>39</v>
      </c>
      <c r="L1" s="1" t="s">
        <v>25</v>
      </c>
      <c r="M1" s="2" t="s">
        <v>40</v>
      </c>
      <c r="N1" s="1" t="s">
        <v>26</v>
      </c>
      <c r="O1" s="2" t="s">
        <v>41</v>
      </c>
      <c r="P1" s="1" t="s">
        <v>27</v>
      </c>
      <c r="Q1" s="2" t="s">
        <v>42</v>
      </c>
      <c r="R1" s="1" t="s">
        <v>28</v>
      </c>
      <c r="S1" s="2" t="s">
        <v>43</v>
      </c>
      <c r="T1" s="1" t="s">
        <v>29</v>
      </c>
      <c r="U1" s="2" t="s">
        <v>44</v>
      </c>
      <c r="V1" t="s">
        <v>30</v>
      </c>
      <c r="W1" s="2" t="s">
        <v>45</v>
      </c>
      <c r="X1" s="1" t="s">
        <v>31</v>
      </c>
      <c r="Y1" s="2" t="s">
        <v>46</v>
      </c>
      <c r="Z1" s="1" t="s">
        <v>32</v>
      </c>
      <c r="AA1" s="2" t="s">
        <v>47</v>
      </c>
      <c r="AB1" s="1" t="s">
        <v>33</v>
      </c>
      <c r="AC1" s="2" t="s">
        <v>48</v>
      </c>
      <c r="AD1" s="1" t="s">
        <v>34</v>
      </c>
      <c r="AE1" t="s">
        <v>49</v>
      </c>
      <c r="AF1" t="s">
        <v>50</v>
      </c>
      <c r="AG1" t="s">
        <v>52</v>
      </c>
      <c r="AH1" t="s">
        <v>51</v>
      </c>
      <c r="AI1" t="s">
        <v>54</v>
      </c>
      <c r="AJ1" t="s">
        <v>53</v>
      </c>
    </row>
    <row r="2" spans="1:36" x14ac:dyDescent="0.3">
      <c r="A2" s="6" t="s">
        <v>1</v>
      </c>
      <c r="B2" t="s">
        <v>60</v>
      </c>
      <c r="C2" s="2">
        <v>498266</v>
      </c>
      <c r="D2" s="1">
        <v>0.15156961148929207</v>
      </c>
      <c r="E2" s="2">
        <v>492005</v>
      </c>
      <c r="F2" s="1">
        <v>0.15152667735555372</v>
      </c>
      <c r="G2" s="2">
        <v>481926</v>
      </c>
      <c r="H2" s="1">
        <v>0.15082764513130592</v>
      </c>
      <c r="I2" s="2">
        <v>471225</v>
      </c>
      <c r="J2" s="1">
        <v>0.14993184699108603</v>
      </c>
      <c r="K2" s="2">
        <v>468087</v>
      </c>
      <c r="L2" s="1">
        <v>0.1504182488978609</v>
      </c>
      <c r="M2" s="2">
        <v>479266</v>
      </c>
      <c r="N2" s="1">
        <v>0.15071523272107937</v>
      </c>
      <c r="O2" s="2">
        <v>488951</v>
      </c>
      <c r="P2" s="1">
        <v>0.15125130463456932</v>
      </c>
      <c r="Q2" s="2">
        <v>501458</v>
      </c>
      <c r="R2" s="1">
        <v>0.15292456512722927</v>
      </c>
      <c r="S2" s="2">
        <v>509039</v>
      </c>
      <c r="T2" s="1">
        <v>0.15261694014186591</v>
      </c>
      <c r="U2" s="2">
        <v>518532</v>
      </c>
      <c r="V2" s="1">
        <v>0.15417830118188142</v>
      </c>
      <c r="W2" s="2">
        <v>531045</v>
      </c>
      <c r="X2" s="1">
        <v>0.15598655633193007</v>
      </c>
      <c r="Y2" s="2">
        <v>531160</v>
      </c>
      <c r="Z2" s="1">
        <v>0.15777482719800864</v>
      </c>
      <c r="AA2" s="2">
        <v>545502</v>
      </c>
      <c r="AB2" s="1">
        <v>0.15900774864800185</v>
      </c>
      <c r="AC2" s="2">
        <v>520870</v>
      </c>
      <c r="AD2" s="1">
        <v>0.16238722027198074</v>
      </c>
      <c r="AE2" s="2">
        <v>448382</v>
      </c>
      <c r="AF2" s="3">
        <f>Tabla3[[#This Row],[2023 Total]]/$AE$25</f>
        <v>0.16116124139393537</v>
      </c>
      <c r="AG2" s="2">
        <v>445678</v>
      </c>
      <c r="AH2" s="4">
        <f>Tabla3[[#This Row],[2024 Total]]/$AG$25</f>
        <v>0.11729748209855212</v>
      </c>
      <c r="AI2" s="2">
        <v>447434</v>
      </c>
      <c r="AJ2" s="4">
        <f>Tabla3[[#This Row],[2025 Total]]/$AI$25</f>
        <v>0.11674933390877283</v>
      </c>
    </row>
    <row r="3" spans="1:36" x14ac:dyDescent="0.3">
      <c r="A3" t="s">
        <v>2</v>
      </c>
      <c r="B3" t="s">
        <v>60</v>
      </c>
      <c r="C3" s="2">
        <v>92052</v>
      </c>
      <c r="D3" s="1">
        <v>2.8001681585362662E-2</v>
      </c>
      <c r="E3" s="2">
        <v>90719</v>
      </c>
      <c r="F3" s="1">
        <v>2.7939449076774585E-2</v>
      </c>
      <c r="G3" s="2">
        <v>88957</v>
      </c>
      <c r="H3" s="1">
        <v>2.7840736602602018E-2</v>
      </c>
      <c r="I3" s="2">
        <v>87927</v>
      </c>
      <c r="J3" s="1">
        <v>2.7976141992435078E-2</v>
      </c>
      <c r="K3" s="2">
        <v>87789</v>
      </c>
      <c r="L3" s="1">
        <v>2.8210712223356575E-2</v>
      </c>
      <c r="M3" s="2">
        <v>89556</v>
      </c>
      <c r="N3" s="1">
        <v>2.8162760098919982E-2</v>
      </c>
      <c r="O3" s="2">
        <v>90186</v>
      </c>
      <c r="P3" s="1">
        <v>2.7897990104884269E-2</v>
      </c>
      <c r="Q3" s="2">
        <v>90749</v>
      </c>
      <c r="R3" s="1">
        <v>2.7674802995925736E-2</v>
      </c>
      <c r="S3" s="2">
        <v>91426</v>
      </c>
      <c r="T3" s="1">
        <v>2.7410780646296713E-2</v>
      </c>
      <c r="U3" s="2">
        <v>91114</v>
      </c>
      <c r="V3" s="1">
        <v>2.7091484679606932E-2</v>
      </c>
      <c r="W3" s="2">
        <v>90682</v>
      </c>
      <c r="X3" s="1">
        <v>2.6636486364229175E-2</v>
      </c>
      <c r="Y3" s="2">
        <v>88602</v>
      </c>
      <c r="Z3" s="1">
        <v>2.6318181413129683E-2</v>
      </c>
      <c r="AA3" s="2">
        <v>89376</v>
      </c>
      <c r="AB3" s="1">
        <v>2.6052107129146757E-2</v>
      </c>
      <c r="AC3" s="2">
        <v>83953</v>
      </c>
      <c r="AD3" s="1">
        <v>2.617331446136963E-2</v>
      </c>
      <c r="AE3" s="2">
        <v>101317</v>
      </c>
      <c r="AF3" s="1">
        <f>Tabla3[[#This Row],[2023 Total]]/$AE$25</f>
        <v>3.6416210941361049E-2</v>
      </c>
      <c r="AG3" s="2">
        <v>100955</v>
      </c>
      <c r="AH3" s="1">
        <f>Tabla3[[#This Row],[2024 Total]]/$AG$25</f>
        <v>2.6570230761355351E-2</v>
      </c>
      <c r="AI3" s="2">
        <v>101631</v>
      </c>
      <c r="AJ3" s="1">
        <f>Tabla3[[#This Row],[2025 Total]]/$AI$25</f>
        <v>2.6518663209506858E-2</v>
      </c>
    </row>
    <row r="4" spans="1:36" x14ac:dyDescent="0.3">
      <c r="A4" s="6" t="s">
        <v>3</v>
      </c>
      <c r="B4" t="s">
        <v>60</v>
      </c>
      <c r="C4" s="2">
        <v>70292</v>
      </c>
      <c r="D4" s="1">
        <v>2.1382416481970107E-2</v>
      </c>
      <c r="E4" s="2">
        <v>69764</v>
      </c>
      <c r="F4" s="1">
        <v>2.1485771727996362E-2</v>
      </c>
      <c r="G4" s="2">
        <v>68864</v>
      </c>
      <c r="H4" s="1">
        <v>2.1552261040745365E-2</v>
      </c>
      <c r="I4" s="2">
        <v>66771</v>
      </c>
      <c r="J4" s="1">
        <v>2.1244839207261508E-2</v>
      </c>
      <c r="K4" s="2">
        <v>66186</v>
      </c>
      <c r="L4" s="1">
        <v>2.1268657795567535E-2</v>
      </c>
      <c r="M4" s="2">
        <v>67283</v>
      </c>
      <c r="N4" s="1">
        <v>2.1158548704002335E-2</v>
      </c>
      <c r="O4" s="2">
        <v>67588</v>
      </c>
      <c r="P4" s="1">
        <v>2.0907561652683541E-2</v>
      </c>
      <c r="Q4" s="2">
        <v>68319</v>
      </c>
      <c r="R4" s="1">
        <v>2.0834553172802459E-2</v>
      </c>
      <c r="S4" s="2">
        <v>68642</v>
      </c>
      <c r="T4" s="1">
        <v>2.0579821988527324E-2</v>
      </c>
      <c r="U4" s="2">
        <v>68661</v>
      </c>
      <c r="V4" s="1">
        <v>2.041539642191641E-2</v>
      </c>
      <c r="W4" s="2">
        <v>68433</v>
      </c>
      <c r="X4" s="1">
        <v>2.0101174117942867E-2</v>
      </c>
      <c r="Y4" s="2">
        <v>67573</v>
      </c>
      <c r="Z4" s="1">
        <v>2.007176443680066E-2</v>
      </c>
      <c r="AA4" s="2">
        <v>68068</v>
      </c>
      <c r="AB4" s="1">
        <v>1.9841062791652809E-2</v>
      </c>
      <c r="AC4" s="2">
        <v>64611</v>
      </c>
      <c r="AD4" s="1">
        <v>2.0143223239950367E-2</v>
      </c>
      <c r="AE4" s="2">
        <v>66861</v>
      </c>
      <c r="AF4" s="1">
        <f>Tabla3[[#This Row],[2023 Total]]/$AE$25</f>
        <v>2.4031744719546975E-2</v>
      </c>
      <c r="AG4" s="2">
        <v>66397</v>
      </c>
      <c r="AH4" s="1">
        <f>Tabla3[[#This Row],[2024 Total]]/$AG$25</f>
        <v>1.7474950342842962E-2</v>
      </c>
      <c r="AI4" s="2">
        <v>67033</v>
      </c>
      <c r="AJ4" s="1">
        <f>Tabla3[[#This Row],[2025 Total]]/$AI$25</f>
        <v>1.7490977663536453E-2</v>
      </c>
    </row>
    <row r="5" spans="1:36" x14ac:dyDescent="0.3">
      <c r="A5" t="s">
        <v>4</v>
      </c>
      <c r="B5" t="s">
        <v>60</v>
      </c>
      <c r="C5" s="2">
        <v>89443</v>
      </c>
      <c r="D5" s="1">
        <v>2.7208039000125937E-2</v>
      </c>
      <c r="E5" s="2">
        <v>87361</v>
      </c>
      <c r="F5" s="1">
        <v>2.6905259215777338E-2</v>
      </c>
      <c r="G5" s="2">
        <v>85262</v>
      </c>
      <c r="H5" s="1">
        <v>2.6684318088638932E-2</v>
      </c>
      <c r="I5" s="2">
        <v>84915</v>
      </c>
      <c r="J5" s="1">
        <v>2.7017799962328122E-2</v>
      </c>
      <c r="K5" s="2">
        <v>84097</v>
      </c>
      <c r="L5" s="1">
        <v>2.7024299921944869E-2</v>
      </c>
      <c r="M5" s="2">
        <v>86974</v>
      </c>
      <c r="N5" s="1">
        <v>2.7350796114648558E-2</v>
      </c>
      <c r="O5" s="2">
        <v>89248</v>
      </c>
      <c r="P5" s="1">
        <v>2.7607830715196496E-2</v>
      </c>
      <c r="Q5" s="2">
        <v>92983</v>
      </c>
      <c r="R5" s="1">
        <v>2.8356083339432531E-2</v>
      </c>
      <c r="S5" s="2">
        <v>96553</v>
      </c>
      <c r="T5" s="1">
        <v>2.8947926232602176E-2</v>
      </c>
      <c r="U5" s="2">
        <v>98712</v>
      </c>
      <c r="V5" s="1">
        <v>2.9350644639609277E-2</v>
      </c>
      <c r="W5" s="2">
        <v>100022</v>
      </c>
      <c r="X5" s="1">
        <v>2.9379972200910109E-2</v>
      </c>
      <c r="Y5" s="2">
        <v>98120</v>
      </c>
      <c r="Z5" s="1">
        <v>2.9145391303314651E-2</v>
      </c>
      <c r="AA5" s="2">
        <v>101236</v>
      </c>
      <c r="AB5" s="1">
        <v>2.9509164846561728E-2</v>
      </c>
      <c r="AC5" s="2">
        <v>97784</v>
      </c>
      <c r="AD5" s="1">
        <v>3.0485287974111323E-2</v>
      </c>
      <c r="AE5" s="2">
        <v>87150</v>
      </c>
      <c r="AF5" s="1">
        <f>Tabla3[[#This Row],[2023 Total]]/$AE$25</f>
        <v>3.132418827580382E-2</v>
      </c>
      <c r="AG5" s="2">
        <v>86526</v>
      </c>
      <c r="AH5" s="1">
        <f>Tabla3[[#This Row],[2024 Total]]/$AG$25</f>
        <v>2.2772678786162476E-2</v>
      </c>
      <c r="AI5" s="2">
        <v>87392</v>
      </c>
      <c r="AJ5" s="1">
        <f>Tabla3[[#This Row],[2025 Total]]/$AI$25</f>
        <v>2.2803268837315618E-2</v>
      </c>
    </row>
    <row r="6" spans="1:36" x14ac:dyDescent="0.3">
      <c r="A6" s="6" t="s">
        <v>5</v>
      </c>
      <c r="B6" t="s">
        <v>60</v>
      </c>
      <c r="C6" s="2">
        <v>135713</v>
      </c>
      <c r="D6" s="1">
        <v>4.1283103169885753E-2</v>
      </c>
      <c r="E6" s="2">
        <v>132351</v>
      </c>
      <c r="F6" s="1">
        <v>4.0761185912104335E-2</v>
      </c>
      <c r="G6" s="2">
        <v>131117</v>
      </c>
      <c r="H6" s="1">
        <v>4.1035487495344594E-2</v>
      </c>
      <c r="I6" s="2">
        <v>129417</v>
      </c>
      <c r="J6" s="1">
        <v>4.1177208004764987E-2</v>
      </c>
      <c r="K6" s="2">
        <v>128326</v>
      </c>
      <c r="L6" s="1">
        <v>4.1237146530595591E-2</v>
      </c>
      <c r="M6" s="2">
        <v>132632</v>
      </c>
      <c r="N6" s="1">
        <v>4.1708910597167748E-2</v>
      </c>
      <c r="O6" s="2">
        <v>135717</v>
      </c>
      <c r="P6" s="1">
        <v>4.1982475362745637E-2</v>
      </c>
      <c r="Q6" s="2">
        <v>141401</v>
      </c>
      <c r="R6" s="1">
        <v>4.3121630193466542E-2</v>
      </c>
      <c r="S6" s="2">
        <v>145994</v>
      </c>
      <c r="T6" s="1">
        <v>4.377102257208499E-2</v>
      </c>
      <c r="U6" s="2">
        <v>151661</v>
      </c>
      <c r="V6" s="1">
        <v>4.5094295695435029E-2</v>
      </c>
      <c r="W6" s="2">
        <v>152756</v>
      </c>
      <c r="X6" s="1">
        <v>4.4869798979446769E-2</v>
      </c>
      <c r="Y6" s="2">
        <v>147999</v>
      </c>
      <c r="Z6" s="1">
        <v>4.3961361266808649E-2</v>
      </c>
      <c r="AA6" s="2">
        <v>151846</v>
      </c>
      <c r="AB6" s="1">
        <v>4.4261415359071993E-2</v>
      </c>
      <c r="AC6" s="2">
        <v>139245</v>
      </c>
      <c r="AD6" s="1">
        <v>4.3411232143859231E-2</v>
      </c>
      <c r="AE6" s="2">
        <v>165555</v>
      </c>
      <c r="AF6" s="1">
        <f>Tabla3[[#This Row],[2023 Total]]/$AE$25</f>
        <v>5.950517487092026E-2</v>
      </c>
      <c r="AG6" s="2">
        <v>164481</v>
      </c>
      <c r="AH6" s="1">
        <f>Tabla3[[#This Row],[2024 Total]]/$AG$25</f>
        <v>4.3289565904199787E-2</v>
      </c>
      <c r="AI6" s="2">
        <v>165707</v>
      </c>
      <c r="AJ6" s="1">
        <f>Tabla3[[#This Row],[2025 Total]]/$AI$25</f>
        <v>4.3238068349792415E-2</v>
      </c>
    </row>
    <row r="7" spans="1:36" x14ac:dyDescent="0.3">
      <c r="A7" t="s">
        <v>6</v>
      </c>
      <c r="B7" t="s">
        <v>60</v>
      </c>
      <c r="C7" s="2">
        <v>38924</v>
      </c>
      <c r="D7" s="1">
        <v>1.1840453809028118E-2</v>
      </c>
      <c r="E7" s="2">
        <v>38801</v>
      </c>
      <c r="F7" s="1">
        <v>1.1949851339057205E-2</v>
      </c>
      <c r="G7" s="2">
        <v>38047</v>
      </c>
      <c r="H7" s="1">
        <v>1.1907511556360927E-2</v>
      </c>
      <c r="I7" s="2">
        <v>37116</v>
      </c>
      <c r="J7" s="1">
        <v>1.1809370116019203E-2</v>
      </c>
      <c r="K7" s="2">
        <v>36612</v>
      </c>
      <c r="L7" s="1">
        <v>1.1765148206740378E-2</v>
      </c>
      <c r="M7" s="2">
        <v>37212</v>
      </c>
      <c r="N7" s="1">
        <v>1.1702092867044199E-2</v>
      </c>
      <c r="O7" s="2">
        <v>37638</v>
      </c>
      <c r="P7" s="1">
        <v>1.1642877514998271E-2</v>
      </c>
      <c r="Q7" s="2">
        <v>38390</v>
      </c>
      <c r="R7" s="1">
        <v>1.1707409304935471E-2</v>
      </c>
      <c r="S7" s="2">
        <v>38483</v>
      </c>
      <c r="T7" s="1">
        <v>1.1537736219581263E-2</v>
      </c>
      <c r="U7" s="2">
        <v>38702</v>
      </c>
      <c r="V7" s="1">
        <v>1.1507503128719489E-2</v>
      </c>
      <c r="W7" s="2">
        <v>38880</v>
      </c>
      <c r="X7" s="1">
        <v>1.1420420699160034E-2</v>
      </c>
      <c r="Y7" s="2">
        <v>38636</v>
      </c>
      <c r="Z7" s="1">
        <v>1.1476369123469882E-2</v>
      </c>
      <c r="AA7" s="2">
        <v>38960</v>
      </c>
      <c r="AB7" s="1">
        <v>1.1356405452823551E-2</v>
      </c>
      <c r="AC7" s="2">
        <v>37801</v>
      </c>
      <c r="AD7" s="1">
        <v>1.1784897025171624E-2</v>
      </c>
      <c r="AE7" s="2">
        <v>49889</v>
      </c>
      <c r="AF7" s="1">
        <f>Tabla3[[#This Row],[2023 Total]]/$AE$25</f>
        <v>1.7931525288486249E-2</v>
      </c>
      <c r="AG7" s="2">
        <v>49445</v>
      </c>
      <c r="AH7" s="1">
        <f>Tabla3[[#This Row],[2024 Total]]/$AG$25</f>
        <v>1.3013372888863506E-2</v>
      </c>
      <c r="AI7" s="2">
        <v>50011</v>
      </c>
      <c r="AJ7" s="1">
        <f>Tabla3[[#This Row],[2025 Total]]/$AI$25</f>
        <v>1.3049412735982599E-2</v>
      </c>
    </row>
    <row r="8" spans="1:36" x14ac:dyDescent="0.3">
      <c r="A8" s="6" t="s">
        <v>7</v>
      </c>
      <c r="B8" t="s">
        <v>60</v>
      </c>
      <c r="C8" s="2">
        <v>168814</v>
      </c>
      <c r="D8" s="1">
        <v>5.1352234336585978E-2</v>
      </c>
      <c r="E8" s="2">
        <v>166327</v>
      </c>
      <c r="F8" s="1">
        <v>5.122504377906157E-2</v>
      </c>
      <c r="G8" s="2">
        <v>164814</v>
      </c>
      <c r="H8" s="1">
        <v>5.1581586186823403E-2</v>
      </c>
      <c r="I8" s="2">
        <v>162010</v>
      </c>
      <c r="J8" s="1">
        <v>5.1547474202399801E-2</v>
      </c>
      <c r="K8" s="2">
        <v>158976</v>
      </c>
      <c r="L8" s="1">
        <v>5.1086425251686829E-2</v>
      </c>
      <c r="M8" s="2">
        <v>160607</v>
      </c>
      <c r="N8" s="1">
        <v>5.0506235329930337E-2</v>
      </c>
      <c r="O8" s="2">
        <v>161231</v>
      </c>
      <c r="P8" s="1">
        <v>4.9874934497600464E-2</v>
      </c>
      <c r="Q8" s="2">
        <v>161460</v>
      </c>
      <c r="R8" s="1">
        <v>4.9238820171265463E-2</v>
      </c>
      <c r="S8" s="2">
        <v>161911</v>
      </c>
      <c r="T8" s="1">
        <v>4.8543159552234018E-2</v>
      </c>
      <c r="U8" s="2">
        <v>161407</v>
      </c>
      <c r="V8" s="1">
        <v>4.7992133675190597E-2</v>
      </c>
      <c r="W8" s="2">
        <v>160199</v>
      </c>
      <c r="X8" s="1">
        <v>4.7056069330883188E-2</v>
      </c>
      <c r="Y8" s="2">
        <v>157131</v>
      </c>
      <c r="Z8" s="1">
        <v>4.6673914399522363E-2</v>
      </c>
      <c r="AA8" s="2">
        <v>157730</v>
      </c>
      <c r="AB8" s="1">
        <v>4.5976535730848526E-2</v>
      </c>
      <c r="AC8" s="2">
        <v>148223</v>
      </c>
      <c r="AD8" s="1">
        <v>4.6210227024735158E-2</v>
      </c>
      <c r="AE8" s="2">
        <v>205518</v>
      </c>
      <c r="AF8" s="1">
        <f>Tabla3[[#This Row],[2023 Total]]/$AE$25</f>
        <v>7.3869013494740662E-2</v>
      </c>
      <c r="AG8" s="2">
        <v>204536</v>
      </c>
      <c r="AH8" s="1">
        <f>Tabla3[[#This Row],[2024 Total]]/$AG$25</f>
        <v>5.3831595453465185E-2</v>
      </c>
      <c r="AI8" s="2">
        <v>205988</v>
      </c>
      <c r="AJ8" s="1">
        <f>Tabla3[[#This Row],[2025 Total]]/$AI$25</f>
        <v>5.3748623915930167E-2</v>
      </c>
    </row>
    <row r="9" spans="1:36" x14ac:dyDescent="0.3">
      <c r="A9" t="s">
        <v>8</v>
      </c>
      <c r="B9" t="s">
        <v>60</v>
      </c>
      <c r="C9" s="2">
        <v>131731</v>
      </c>
      <c r="D9" s="1">
        <v>4.0071801991498381E-2</v>
      </c>
      <c r="E9" s="2">
        <v>129916</v>
      </c>
      <c r="F9" s="1">
        <v>4.0011259672816574E-2</v>
      </c>
      <c r="G9" s="2">
        <v>127427</v>
      </c>
      <c r="H9" s="1">
        <v>3.9880633823754931E-2</v>
      </c>
      <c r="I9" s="2">
        <v>124245</v>
      </c>
      <c r="J9" s="1">
        <v>3.9531608741912E-2</v>
      </c>
      <c r="K9" s="2">
        <v>122731</v>
      </c>
      <c r="L9" s="1">
        <v>3.9439211312177792E-2</v>
      </c>
      <c r="M9" s="2">
        <v>125408</v>
      </c>
      <c r="N9" s="1">
        <v>3.9437172478509058E-2</v>
      </c>
      <c r="O9" s="2">
        <v>126296</v>
      </c>
      <c r="P9" s="1">
        <v>3.9068198592757897E-2</v>
      </c>
      <c r="Q9" s="2">
        <v>126988</v>
      </c>
      <c r="R9" s="1">
        <v>3.8726243626338773E-2</v>
      </c>
      <c r="S9" s="2">
        <v>127582</v>
      </c>
      <c r="T9" s="1">
        <v>3.8250850047205687E-2</v>
      </c>
      <c r="U9" s="2">
        <v>128106</v>
      </c>
      <c r="V9" s="1">
        <v>3.8090543016064772E-2</v>
      </c>
      <c r="W9" s="2">
        <v>128713</v>
      </c>
      <c r="X9" s="1">
        <v>3.7807525963245513E-2</v>
      </c>
      <c r="Y9" s="2">
        <v>127673</v>
      </c>
      <c r="Z9" s="1">
        <v>3.7923762167428571E-2</v>
      </c>
      <c r="AA9" s="2">
        <v>129626</v>
      </c>
      <c r="AB9" s="1">
        <v>3.7784533193729611E-2</v>
      </c>
      <c r="AC9" s="2">
        <v>122860</v>
      </c>
      <c r="AD9" s="1">
        <v>3.8303019722033434E-2</v>
      </c>
      <c r="AE9" s="2">
        <v>128298</v>
      </c>
      <c r="AF9" s="1">
        <f>Tabla3[[#This Row],[2023 Total]]/$AE$25</f>
        <v>4.6113949597350296E-2</v>
      </c>
      <c r="AG9" s="2">
        <v>127464</v>
      </c>
      <c r="AH9" s="1">
        <f>Tabla3[[#This Row],[2024 Total]]/$AG$25</f>
        <v>3.354710409356048E-2</v>
      </c>
      <c r="AI9" s="2">
        <v>128388</v>
      </c>
      <c r="AJ9" s="1">
        <f>Tabla3[[#This Row],[2025 Total]]/$AI$25</f>
        <v>3.3500389961155223E-2</v>
      </c>
    </row>
    <row r="10" spans="1:36" x14ac:dyDescent="0.3">
      <c r="A10" s="7" t="s">
        <v>9</v>
      </c>
      <c r="B10" s="1" t="s">
        <v>55</v>
      </c>
      <c r="C10" s="2">
        <v>458411</v>
      </c>
      <c r="D10" s="1">
        <v>0.75270000000000004</v>
      </c>
      <c r="E10" s="2">
        <v>453044</v>
      </c>
      <c r="F10" s="1">
        <v>0.75349999999999995</v>
      </c>
      <c r="G10" s="2">
        <v>445516</v>
      </c>
      <c r="H10" s="1">
        <v>0.75329999999999997</v>
      </c>
      <c r="I10" s="2">
        <v>437938</v>
      </c>
      <c r="J10" s="1">
        <v>0.75470000000000004</v>
      </c>
      <c r="K10" s="2">
        <v>434113</v>
      </c>
      <c r="L10" s="1">
        <v>0.75429999999999997</v>
      </c>
      <c r="M10" s="2">
        <v>440416</v>
      </c>
      <c r="N10" s="1">
        <v>0.75490000000000002</v>
      </c>
      <c r="O10" s="2">
        <v>450118</v>
      </c>
      <c r="P10" s="1">
        <v>0.75560000000000005</v>
      </c>
      <c r="Q10" s="2">
        <v>460302</v>
      </c>
      <c r="R10" s="1">
        <v>0.75660000000000005</v>
      </c>
      <c r="S10" s="2">
        <v>468402</v>
      </c>
      <c r="T10" s="1">
        <v>0.75800000000000001</v>
      </c>
      <c r="U10" s="2">
        <v>470067</v>
      </c>
      <c r="V10" s="1">
        <v>0.7581</v>
      </c>
      <c r="W10" s="2">
        <v>477734</v>
      </c>
      <c r="X10" s="1">
        <v>0.75849999999999995</v>
      </c>
      <c r="Y10" s="2">
        <v>471885</v>
      </c>
      <c r="Z10" s="1">
        <v>0.75749999999999995</v>
      </c>
      <c r="AA10" s="2">
        <v>480301</v>
      </c>
      <c r="AB10" s="1">
        <v>0.75729999999999997</v>
      </c>
      <c r="AC10" s="2">
        <v>445119</v>
      </c>
      <c r="AD10" s="1">
        <v>0.75219999999999998</v>
      </c>
      <c r="AE10" s="2">
        <v>236064</v>
      </c>
      <c r="AF10" s="1">
        <f>Tabla3[[#This Row],[2023 Total]]/$AE$25</f>
        <v>8.4848114528277133E-2</v>
      </c>
      <c r="AG10" s="2">
        <v>233300</v>
      </c>
      <c r="AH10" s="1">
        <f>Tabla3[[#This Row],[2024 Total]]/$AG$25</f>
        <v>6.140195965156954E-2</v>
      </c>
      <c r="AI10" s="2">
        <v>235668</v>
      </c>
      <c r="AJ10" s="1">
        <f>Tabla3[[#This Row],[2025 Total]]/$AI$25</f>
        <v>6.1493051541931715E-2</v>
      </c>
    </row>
    <row r="11" spans="1:36" x14ac:dyDescent="0.3">
      <c r="A11" s="2" t="s">
        <v>9</v>
      </c>
      <c r="B11" s="1" t="s">
        <v>56</v>
      </c>
      <c r="C11" s="2">
        <v>58197</v>
      </c>
      <c r="D11" s="1">
        <v>9.5600000000000004E-2</v>
      </c>
      <c r="E11" s="2">
        <v>57992</v>
      </c>
      <c r="F11" s="1">
        <v>9.6500000000000002E-2</v>
      </c>
      <c r="G11" s="2">
        <v>57911</v>
      </c>
      <c r="H11" s="1">
        <v>9.7900000000000001E-2</v>
      </c>
      <c r="I11" s="2">
        <v>57182</v>
      </c>
      <c r="J11" s="1">
        <v>9.8500000000000004E-2</v>
      </c>
      <c r="K11" s="2">
        <v>57544</v>
      </c>
      <c r="L11" s="1">
        <v>0.1</v>
      </c>
      <c r="M11" s="2">
        <v>58903</v>
      </c>
      <c r="N11" s="1">
        <v>0.10100000000000001</v>
      </c>
      <c r="O11" s="2">
        <v>60450</v>
      </c>
      <c r="P11" s="1">
        <v>0.10150000000000001</v>
      </c>
      <c r="Q11" s="2">
        <v>61982</v>
      </c>
      <c r="R11" s="1">
        <v>0.1019</v>
      </c>
      <c r="S11" s="2">
        <v>62941</v>
      </c>
      <c r="T11" s="1">
        <v>0.1019</v>
      </c>
      <c r="U11" s="2">
        <v>63357</v>
      </c>
      <c r="V11" s="1">
        <v>0.1022</v>
      </c>
      <c r="W11" s="2">
        <v>64413</v>
      </c>
      <c r="X11" s="1">
        <v>0.1023</v>
      </c>
      <c r="Y11" s="2">
        <v>64258</v>
      </c>
      <c r="Z11" s="1">
        <v>0.1031</v>
      </c>
      <c r="AA11" s="2">
        <v>65628</v>
      </c>
      <c r="AB11" s="1">
        <v>0.10349999999999999</v>
      </c>
      <c r="AC11" s="2">
        <v>62848</v>
      </c>
      <c r="AD11" s="1">
        <v>0.1062</v>
      </c>
      <c r="AE11" s="2">
        <v>76902</v>
      </c>
      <c r="AF11" s="1">
        <f>Tabla3[[#This Row],[2023 Total]]/$AE$25</f>
        <v>2.7640765654456282E-2</v>
      </c>
      <c r="AG11" s="2">
        <v>76028</v>
      </c>
      <c r="AH11" s="1">
        <f>Tabla3[[#This Row],[2024 Total]]/$AG$25</f>
        <v>2.0009722196268877E-2</v>
      </c>
      <c r="AI11" s="2">
        <v>76684</v>
      </c>
      <c r="AJ11" s="1">
        <f>Tabla3[[#This Row],[2025 Total]]/$AI$25</f>
        <v>2.0009221296236619E-2</v>
      </c>
    </row>
    <row r="12" spans="1:36" x14ac:dyDescent="0.3">
      <c r="A12" s="7" t="s">
        <v>9</v>
      </c>
      <c r="B12" s="1" t="s">
        <v>57</v>
      </c>
      <c r="C12" s="2">
        <v>36552</v>
      </c>
      <c r="D12" s="1">
        <v>0.06</v>
      </c>
      <c r="E12" s="2">
        <v>35686</v>
      </c>
      <c r="F12" s="1">
        <v>5.9400000000000001E-2</v>
      </c>
      <c r="G12" s="2">
        <v>34772</v>
      </c>
      <c r="H12" s="1">
        <v>5.8799999999999998E-2</v>
      </c>
      <c r="I12" s="2">
        <v>33798</v>
      </c>
      <c r="J12" s="1">
        <v>5.8200000000000002E-2</v>
      </c>
      <c r="K12" s="2">
        <v>33266</v>
      </c>
      <c r="L12" s="1">
        <v>5.7799999999999997E-2</v>
      </c>
      <c r="M12" s="2">
        <v>33160</v>
      </c>
      <c r="N12" s="1">
        <v>5.6800000000000003E-2</v>
      </c>
      <c r="O12" s="2">
        <v>33286</v>
      </c>
      <c r="P12" s="1">
        <v>5.5899999999999998E-2</v>
      </c>
      <c r="Q12" s="2">
        <v>33593</v>
      </c>
      <c r="R12" s="1">
        <v>5.5199999999999999E-2</v>
      </c>
      <c r="S12" s="2">
        <v>33670</v>
      </c>
      <c r="T12" s="1">
        <v>5.45E-2</v>
      </c>
      <c r="U12" s="2">
        <v>33299</v>
      </c>
      <c r="V12" s="1">
        <v>5.3699999999999998E-2</v>
      </c>
      <c r="W12" s="2">
        <v>33512</v>
      </c>
      <c r="X12" s="1">
        <v>5.3199999999999997E-2</v>
      </c>
      <c r="Y12" s="2">
        <v>33060</v>
      </c>
      <c r="Z12" s="1">
        <v>5.3100000000000001E-2</v>
      </c>
      <c r="AA12" s="2">
        <v>33407</v>
      </c>
      <c r="AB12" s="1">
        <v>5.2699999999999997E-2</v>
      </c>
      <c r="AC12" s="2">
        <v>31595</v>
      </c>
      <c r="AD12" s="1">
        <v>5.3400000000000003E-2</v>
      </c>
      <c r="AE12" s="2">
        <v>46598</v>
      </c>
      <c r="AF12" s="1">
        <f>Tabla3[[#This Row],[2023 Total]]/$AE$25</f>
        <v>1.6748646302649526E-2</v>
      </c>
      <c r="AG12" s="2">
        <v>46064</v>
      </c>
      <c r="AH12" s="1">
        <f>Tabla3[[#This Row],[2024 Total]]/$AG$25</f>
        <v>1.2123531373295754E-2</v>
      </c>
      <c r="AI12" s="2">
        <v>46528</v>
      </c>
      <c r="AJ12" s="1">
        <f>Tabla3[[#This Row],[2025 Total]]/$AI$25</f>
        <v>1.214059058566712E-2</v>
      </c>
    </row>
    <row r="13" spans="1:36" x14ac:dyDescent="0.3">
      <c r="A13" s="2" t="s">
        <v>9</v>
      </c>
      <c r="B13" s="1" t="s">
        <v>58</v>
      </c>
      <c r="C13" s="2">
        <v>55886</v>
      </c>
      <c r="D13" s="1">
        <v>9.1800000000000007E-2</v>
      </c>
      <c r="E13" s="2">
        <v>54493</v>
      </c>
      <c r="F13" s="1">
        <v>9.06E-2</v>
      </c>
      <c r="G13" s="2">
        <v>53206</v>
      </c>
      <c r="H13" s="1">
        <v>0.09</v>
      </c>
      <c r="I13" s="2">
        <v>51332</v>
      </c>
      <c r="J13" s="1">
        <v>8.8499999999999995E-2</v>
      </c>
      <c r="K13" s="2">
        <v>50563</v>
      </c>
      <c r="L13" s="1">
        <v>8.7900000000000006E-2</v>
      </c>
      <c r="M13" s="2">
        <v>50966</v>
      </c>
      <c r="N13" s="1">
        <v>8.7400000000000005E-2</v>
      </c>
      <c r="O13" s="2">
        <v>51864</v>
      </c>
      <c r="P13" s="1">
        <v>8.7099999999999997E-2</v>
      </c>
      <c r="Q13" s="2">
        <v>52509</v>
      </c>
      <c r="R13" s="1">
        <v>8.6300000000000002E-2</v>
      </c>
      <c r="S13" s="2">
        <v>52895</v>
      </c>
      <c r="T13" s="1">
        <v>8.5599999999999996E-2</v>
      </c>
      <c r="U13" s="2">
        <v>53308</v>
      </c>
      <c r="V13" s="1">
        <v>8.5999999999999993E-2</v>
      </c>
      <c r="W13" s="2">
        <v>54217</v>
      </c>
      <c r="X13" s="1">
        <v>8.6099999999999996E-2</v>
      </c>
      <c r="Y13" s="2">
        <v>53764</v>
      </c>
      <c r="Z13" s="1">
        <v>8.6300000000000002E-2</v>
      </c>
      <c r="AA13" s="2">
        <v>54887</v>
      </c>
      <c r="AB13" s="1">
        <v>8.6499999999999994E-2</v>
      </c>
      <c r="AC13" s="2">
        <v>52172</v>
      </c>
      <c r="AD13" s="1">
        <v>8.8200000000000001E-2</v>
      </c>
      <c r="AE13" s="2">
        <v>140326</v>
      </c>
      <c r="AF13" s="1">
        <f>Tabla3[[#This Row],[2023 Total]]/$AE$25</f>
        <v>5.0437154836379193E-2</v>
      </c>
      <c r="AG13" s="2">
        <v>138362</v>
      </c>
      <c r="AH13" s="1">
        <f>Tabla3[[#This Row],[2024 Total]]/$AG$25</f>
        <v>3.6415336225077005E-2</v>
      </c>
      <c r="AI13" s="2">
        <v>140098</v>
      </c>
      <c r="AJ13" s="1">
        <f>Tabla3[[#This Row],[2025 Total]]/$AI$25</f>
        <v>3.6555890213866751E-2</v>
      </c>
    </row>
    <row r="14" spans="1:36" x14ac:dyDescent="0.3">
      <c r="A14" s="6" t="s">
        <v>9</v>
      </c>
      <c r="B14" t="s">
        <v>60</v>
      </c>
      <c r="C14" s="2">
        <v>609046</v>
      </c>
      <c r="D14" s="1">
        <v>0.18526824145959664</v>
      </c>
      <c r="E14" s="2">
        <v>601215</v>
      </c>
      <c r="F14" s="1">
        <v>0.18516094618209009</v>
      </c>
      <c r="G14" s="2">
        <v>591405</v>
      </c>
      <c r="H14" s="1">
        <v>0.18509112077140469</v>
      </c>
      <c r="I14" s="2">
        <v>580250</v>
      </c>
      <c r="J14" s="1">
        <v>0.18462083763929685</v>
      </c>
      <c r="K14" s="2">
        <v>575486</v>
      </c>
      <c r="L14" s="1">
        <v>0.18493057142205269</v>
      </c>
      <c r="M14" s="2">
        <v>583445</v>
      </c>
      <c r="N14" s="1">
        <v>0.18347650147298192</v>
      </c>
      <c r="O14" s="2">
        <v>595718</v>
      </c>
      <c r="P14" s="1">
        <v>0.18427843422816675</v>
      </c>
      <c r="Q14" s="2">
        <v>608386</v>
      </c>
      <c r="R14" s="1">
        <v>0.18553331381590182</v>
      </c>
      <c r="S14" s="2">
        <v>617908</v>
      </c>
      <c r="T14" s="1">
        <v>0.18525737369667172</v>
      </c>
      <c r="U14" s="2">
        <v>620031</v>
      </c>
      <c r="V14" s="1">
        <v>0.18435762163203642</v>
      </c>
      <c r="W14" s="2">
        <v>629876</v>
      </c>
      <c r="X14" s="1">
        <v>0.18501669002839832</v>
      </c>
      <c r="Y14" s="2">
        <v>622967</v>
      </c>
      <c r="Z14" s="1">
        <v>0.18504501614402791</v>
      </c>
      <c r="AA14" s="2">
        <v>634223</v>
      </c>
      <c r="AB14" s="1">
        <v>0.18486893058280571</v>
      </c>
      <c r="AC14" s="2">
        <v>591734</v>
      </c>
      <c r="AD14" s="1">
        <v>0.18447988826467304</v>
      </c>
      <c r="AE14" s="2">
        <v>499890</v>
      </c>
      <c r="AF14" s="1">
        <f>Tabla3[[#This Row],[2023 Total]]/$AE$25</f>
        <v>0.17967468132176215</v>
      </c>
      <c r="AG14" s="2">
        <v>493754</v>
      </c>
      <c r="AH14" s="1">
        <f>Tabla3[[#This Row],[2024 Total]]/$AG$25</f>
        <v>0.12995054944621118</v>
      </c>
      <c r="AI14" s="2">
        <v>498978</v>
      </c>
      <c r="AJ14" s="1">
        <f>Tabla3[[#This Row],[2025 Total]]/$AI$25</f>
        <v>0.13019875363770222</v>
      </c>
    </row>
    <row r="15" spans="1:36" x14ac:dyDescent="0.3">
      <c r="A15" t="s">
        <v>10</v>
      </c>
      <c r="B15" t="s">
        <v>60</v>
      </c>
      <c r="C15" s="2">
        <v>3604</v>
      </c>
      <c r="D15" s="1">
        <v>1.096315782749392E-3</v>
      </c>
      <c r="E15" s="2">
        <v>3618</v>
      </c>
      <c r="F15" s="1">
        <v>1.11426412063372E-3</v>
      </c>
      <c r="G15" s="2">
        <v>3597</v>
      </c>
      <c r="H15" s="1">
        <v>1.1257476034439052E-3</v>
      </c>
      <c r="I15" s="2">
        <v>3597</v>
      </c>
      <c r="J15" s="1">
        <v>1.1444741973090061E-3</v>
      </c>
      <c r="K15" s="2">
        <v>3568</v>
      </c>
      <c r="L15" s="1">
        <v>1.1465653010392675E-3</v>
      </c>
      <c r="M15" s="2">
        <v>3719</v>
      </c>
      <c r="N15" s="1">
        <v>1.169517450621772E-3</v>
      </c>
      <c r="O15" s="2">
        <v>3755</v>
      </c>
      <c r="P15" s="1">
        <v>1.1615655738567009E-3</v>
      </c>
      <c r="Q15" s="2">
        <v>3810</v>
      </c>
      <c r="R15" s="1">
        <v>1.1618970943423844E-3</v>
      </c>
      <c r="S15" s="2">
        <v>3899</v>
      </c>
      <c r="T15" s="1">
        <v>1.1689741839291984E-3</v>
      </c>
      <c r="U15" s="2">
        <v>3789</v>
      </c>
      <c r="V15" s="1">
        <v>1.1266066186429162E-3</v>
      </c>
      <c r="W15" s="2">
        <v>3845</v>
      </c>
      <c r="X15" s="1">
        <v>1.129411460603661E-3</v>
      </c>
      <c r="Y15" s="2">
        <v>3749</v>
      </c>
      <c r="Z15" s="1">
        <v>1.1135963309837609E-3</v>
      </c>
      <c r="AA15" s="2">
        <v>3744</v>
      </c>
      <c r="AB15" s="1">
        <v>1.091334240640949E-3</v>
      </c>
      <c r="AC15" s="2">
        <v>3369</v>
      </c>
      <c r="AD15" s="1">
        <v>1.0503245437370229E-3</v>
      </c>
      <c r="AE15" s="2">
        <v>1667</v>
      </c>
      <c r="AF15" s="1">
        <f>Tabla3[[#This Row],[2023 Total]]/$AE$25</f>
        <v>5.9916720431170357E-4</v>
      </c>
      <c r="AG15" s="2">
        <v>1653</v>
      </c>
      <c r="AH15" s="1">
        <f>Tabla3[[#This Row],[2024 Total]]/$AG$25</f>
        <v>4.350511757567272E-4</v>
      </c>
      <c r="AI15" s="2">
        <v>1671</v>
      </c>
      <c r="AJ15" s="1">
        <f>Tabla3[[#This Row],[2025 Total]]/$AI$25</f>
        <v>4.3601545023748623E-4</v>
      </c>
    </row>
    <row r="16" spans="1:36" x14ac:dyDescent="0.3">
      <c r="A16" s="6" t="s">
        <v>11</v>
      </c>
      <c r="B16" t="s">
        <v>60</v>
      </c>
      <c r="C16" s="2">
        <v>352012</v>
      </c>
      <c r="D16" s="1">
        <v>0.10707999759078218</v>
      </c>
      <c r="E16" s="2">
        <v>348700</v>
      </c>
      <c r="F16" s="1">
        <v>0.10739190128938036</v>
      </c>
      <c r="G16" s="2">
        <v>342116</v>
      </c>
      <c r="H16" s="1">
        <v>0.10707152268551989</v>
      </c>
      <c r="I16" s="2">
        <v>336837</v>
      </c>
      <c r="J16" s="1">
        <v>0.10717299282707081</v>
      </c>
      <c r="K16" s="2">
        <v>330126</v>
      </c>
      <c r="L16" s="1">
        <v>0.10608492616897121</v>
      </c>
      <c r="M16" s="2">
        <v>338906</v>
      </c>
      <c r="N16" s="1">
        <v>0.1065760906481372</v>
      </c>
      <c r="O16" s="2">
        <v>344335</v>
      </c>
      <c r="P16" s="1">
        <v>0.10651602713021227</v>
      </c>
      <c r="Q16" s="2">
        <v>349847</v>
      </c>
      <c r="R16" s="1">
        <v>0.10668929468881895</v>
      </c>
      <c r="S16" s="2">
        <v>356321</v>
      </c>
      <c r="T16" s="1">
        <v>0.10682996927207897</v>
      </c>
      <c r="U16" s="2">
        <v>363428</v>
      </c>
      <c r="V16" s="1">
        <v>0.10806027717079909</v>
      </c>
      <c r="W16" s="2">
        <v>370645</v>
      </c>
      <c r="X16" s="1">
        <v>0.10887144624588918</v>
      </c>
      <c r="Y16" s="2">
        <v>368044</v>
      </c>
      <c r="Z16" s="1">
        <v>0.10932313898121827</v>
      </c>
      <c r="AA16" s="2">
        <v>374917</v>
      </c>
      <c r="AB16" s="1">
        <v>0.10928412379764495</v>
      </c>
      <c r="AC16" s="2">
        <v>352990</v>
      </c>
      <c r="AD16" s="1">
        <v>0.11004869714862918</v>
      </c>
      <c r="AE16" s="2">
        <v>317228</v>
      </c>
      <c r="AF16" s="1">
        <f>Tabla3[[#This Row],[2023 Total]]/$AE$25</f>
        <v>0.11402076418079969</v>
      </c>
      <c r="AG16" s="2">
        <v>314574</v>
      </c>
      <c r="AH16" s="1">
        <f>Tabla3[[#This Row],[2024 Total]]/$AG$25</f>
        <v>8.2792370576223046E-2</v>
      </c>
      <c r="AI16" s="2">
        <v>316750</v>
      </c>
      <c r="AJ16" s="1">
        <f>Tabla3[[#This Row],[2025 Total]]/$AI$25</f>
        <v>8.2649846716172204E-2</v>
      </c>
    </row>
    <row r="17" spans="1:36" x14ac:dyDescent="0.3">
      <c r="A17" t="s">
        <v>12</v>
      </c>
      <c r="B17" t="s">
        <v>60</v>
      </c>
      <c r="C17" s="2">
        <v>65487</v>
      </c>
      <c r="D17" s="1">
        <v>1.9920763503027038E-2</v>
      </c>
      <c r="E17" s="2">
        <v>64972</v>
      </c>
      <c r="F17" s="1">
        <v>2.0009941527311791E-2</v>
      </c>
      <c r="G17" s="2">
        <v>64535</v>
      </c>
      <c r="H17" s="1">
        <v>2.0197420513831641E-2</v>
      </c>
      <c r="I17" s="2">
        <v>63274</v>
      </c>
      <c r="J17" s="1">
        <v>2.0132182474431486E-2</v>
      </c>
      <c r="K17" s="2">
        <v>62681</v>
      </c>
      <c r="L17" s="1">
        <v>2.0142337341491685E-2</v>
      </c>
      <c r="M17" s="2">
        <v>64226</v>
      </c>
      <c r="N17" s="1">
        <v>2.0197211020068277E-2</v>
      </c>
      <c r="O17" s="2">
        <v>65379</v>
      </c>
      <c r="P17" s="1">
        <v>2.0224233196585152E-2</v>
      </c>
      <c r="Q17" s="2">
        <v>65743</v>
      </c>
      <c r="R17" s="1">
        <v>2.0048976554685405E-2</v>
      </c>
      <c r="S17" s="2">
        <v>66867</v>
      </c>
      <c r="T17" s="1">
        <v>2.0047652412617006E-2</v>
      </c>
      <c r="U17" s="2">
        <v>67687</v>
      </c>
      <c r="V17" s="1">
        <v>2.0125791025622349E-2</v>
      </c>
      <c r="W17" s="2">
        <v>67336</v>
      </c>
      <c r="X17" s="1">
        <v>1.9778946712927986E-2</v>
      </c>
      <c r="Y17" s="2">
        <v>66386</v>
      </c>
      <c r="Z17" s="1">
        <v>1.9719180055664965E-2</v>
      </c>
      <c r="AA17" s="2">
        <v>67254</v>
      </c>
      <c r="AB17" s="1">
        <v>1.9603790870744226E-2</v>
      </c>
      <c r="AC17" s="2">
        <v>63094</v>
      </c>
      <c r="AD17" s="1">
        <v>1.9670281021829543E-2</v>
      </c>
      <c r="AE17" s="2">
        <v>69276</v>
      </c>
      <c r="AF17" s="1">
        <f>Tabla3[[#This Row],[2023 Total]]/$AE$25</f>
        <v>2.4899764394659612E-2</v>
      </c>
      <c r="AG17" s="2">
        <v>68780</v>
      </c>
      <c r="AH17" s="1">
        <f>Tabla3[[#This Row],[2024 Total]]/$AG$25</f>
        <v>1.8102129382061523E-2</v>
      </c>
      <c r="AI17" s="2">
        <v>69398</v>
      </c>
      <c r="AJ17" s="1">
        <f>Tabla3[[#This Row],[2025 Total]]/$AI$25</f>
        <v>1.8108079123627212E-2</v>
      </c>
    </row>
    <row r="18" spans="1:36" x14ac:dyDescent="0.3">
      <c r="A18" s="6" t="s">
        <v>13</v>
      </c>
      <c r="B18" t="s">
        <v>60</v>
      </c>
      <c r="C18" s="2">
        <v>198705</v>
      </c>
      <c r="D18" s="1">
        <v>6.0444902222868468E-2</v>
      </c>
      <c r="E18" s="2">
        <v>196311</v>
      </c>
      <c r="F18" s="1">
        <v>6.0459453782677225E-2</v>
      </c>
      <c r="G18" s="2">
        <v>194268</v>
      </c>
      <c r="H18" s="1">
        <v>6.0799759640211441E-2</v>
      </c>
      <c r="I18" s="2">
        <v>192774</v>
      </c>
      <c r="J18" s="1">
        <v>6.1335798974714022E-2</v>
      </c>
      <c r="K18" s="2">
        <v>191182</v>
      </c>
      <c r="L18" s="1">
        <v>6.1435719558096763E-2</v>
      </c>
      <c r="M18" s="2">
        <v>195065</v>
      </c>
      <c r="N18" s="1">
        <v>6.1342275209877908E-2</v>
      </c>
      <c r="O18" s="2">
        <v>197347</v>
      </c>
      <c r="P18" s="1">
        <v>6.1046999015685312E-2</v>
      </c>
      <c r="Q18" s="2">
        <v>198772</v>
      </c>
      <c r="R18" s="1">
        <v>6.0617482739271512E-2</v>
      </c>
      <c r="S18" s="2">
        <v>200683</v>
      </c>
      <c r="T18" s="1">
        <v>6.0167541973188847E-2</v>
      </c>
      <c r="U18" s="2">
        <v>200972</v>
      </c>
      <c r="V18" s="1">
        <v>5.9756237889127518E-2</v>
      </c>
      <c r="W18" s="2">
        <v>197813</v>
      </c>
      <c r="X18" s="1">
        <v>5.8104621393079835E-2</v>
      </c>
      <c r="Y18" s="2">
        <v>194657</v>
      </c>
      <c r="Z18" s="1">
        <v>5.7820571085704438E-2</v>
      </c>
      <c r="AA18" s="2">
        <v>196530</v>
      </c>
      <c r="AB18" s="1">
        <v>5.7286302968260074E-2</v>
      </c>
      <c r="AC18" s="2">
        <v>185179</v>
      </c>
      <c r="AD18" s="1">
        <v>5.7731685569806519E-2</v>
      </c>
      <c r="AE18" s="2">
        <v>223248</v>
      </c>
      <c r="AF18" s="1">
        <f>Tabla3[[#This Row],[2023 Total]]/$AE$25</f>
        <v>8.0241679680971317E-2</v>
      </c>
      <c r="AG18" s="2">
        <v>221846</v>
      </c>
      <c r="AH18" s="1">
        <f>Tabla3[[#This Row],[2024 Total]]/$AG$25</f>
        <v>5.8387394517197155E-2</v>
      </c>
      <c r="AI18" s="2">
        <v>223164</v>
      </c>
      <c r="AJ18" s="1">
        <f>Tabla3[[#This Row],[2025 Total]]/$AI$25</f>
        <v>5.8230372194373652E-2</v>
      </c>
    </row>
    <row r="19" spans="1:36" x14ac:dyDescent="0.3">
      <c r="A19" t="s">
        <v>14</v>
      </c>
      <c r="B19" t="s">
        <v>60</v>
      </c>
      <c r="C19" s="2">
        <v>502973</v>
      </c>
      <c r="D19" s="1">
        <v>0.1530014534397364</v>
      </c>
      <c r="E19" s="2">
        <v>501284</v>
      </c>
      <c r="F19" s="1">
        <v>0.15438440449081087</v>
      </c>
      <c r="G19" s="2">
        <v>498524</v>
      </c>
      <c r="H19" s="1">
        <v>0.1560222958741366</v>
      </c>
      <c r="I19" s="2">
        <v>495536</v>
      </c>
      <c r="J19" s="1">
        <v>0.1576669907805715</v>
      </c>
      <c r="K19" s="2">
        <v>493617</v>
      </c>
      <c r="L19" s="1">
        <v>0.15862223211970297</v>
      </c>
      <c r="M19" s="2">
        <v>507852</v>
      </c>
      <c r="N19" s="1">
        <v>0.15970469920225011</v>
      </c>
      <c r="O19" s="2">
        <v>515847</v>
      </c>
      <c r="P19" s="1">
        <v>0.15957126939474237</v>
      </c>
      <c r="Q19" s="2">
        <v>525811</v>
      </c>
      <c r="R19" s="1">
        <v>0.16035125277513479</v>
      </c>
      <c r="S19" s="2">
        <v>538704</v>
      </c>
      <c r="T19" s="1">
        <v>0.16151091787109384</v>
      </c>
      <c r="U19" s="2">
        <v>540544</v>
      </c>
      <c r="V19" s="1">
        <v>0.16072326420367286</v>
      </c>
      <c r="W19" s="2">
        <v>552027</v>
      </c>
      <c r="X19" s="1">
        <v>0.16214970620615268</v>
      </c>
      <c r="Y19" s="2">
        <v>547040</v>
      </c>
      <c r="Z19" s="1">
        <v>0.16249179431884678</v>
      </c>
      <c r="AA19" s="2">
        <v>558607</v>
      </c>
      <c r="AB19" s="1">
        <v>0.16282770997909152</v>
      </c>
      <c r="AC19" s="2">
        <v>503018</v>
      </c>
      <c r="AD19" s="1">
        <v>0.1568216537077797</v>
      </c>
      <c r="AE19" s="2">
        <v>491403</v>
      </c>
      <c r="AF19" s="1">
        <f>Tabla3[[#This Row],[2023 Total]]/$AE$25</f>
        <v>0.17662421217779486</v>
      </c>
      <c r="AG19" s="2">
        <v>486861</v>
      </c>
      <c r="AH19" s="1">
        <f>Tabla3[[#This Row],[2024 Total]]/$AG$25</f>
        <v>0.12813638867519417</v>
      </c>
      <c r="AI19" s="2">
        <v>493283</v>
      </c>
      <c r="AJ19" s="1">
        <f>Tabla3[[#This Row],[2025 Total]]/$AI$25</f>
        <v>0.12871275244733568</v>
      </c>
    </row>
    <row r="20" spans="1:36" x14ac:dyDescent="0.3">
      <c r="A20" s="6" t="s">
        <v>15</v>
      </c>
      <c r="B20" t="s">
        <v>60</v>
      </c>
      <c r="C20" s="2">
        <v>3646</v>
      </c>
      <c r="D20" s="1">
        <v>1.1090919378202784E-3</v>
      </c>
      <c r="E20" s="2">
        <v>3689</v>
      </c>
      <c r="F20" s="1">
        <v>1.1361305530729112E-3</v>
      </c>
      <c r="G20" s="2">
        <v>3760</v>
      </c>
      <c r="H20" s="1">
        <v>1.1767614648176489E-3</v>
      </c>
      <c r="I20" s="2">
        <v>3790</v>
      </c>
      <c r="J20" s="1">
        <v>1.2058819037534428E-3</v>
      </c>
      <c r="K20" s="2">
        <v>3743</v>
      </c>
      <c r="L20" s="1">
        <v>1.2028009870487608E-3</v>
      </c>
      <c r="M20" s="2">
        <v>4090</v>
      </c>
      <c r="N20" s="1">
        <v>1.2861861718319568E-3</v>
      </c>
      <c r="O20" s="2">
        <v>4334</v>
      </c>
      <c r="P20" s="1">
        <v>1.3406724892396648E-3</v>
      </c>
      <c r="Q20" s="2">
        <v>4515</v>
      </c>
      <c r="R20" s="1">
        <v>1.376893800775818E-3</v>
      </c>
      <c r="S20" s="2">
        <v>4657</v>
      </c>
      <c r="T20" s="1">
        <v>1.3962330788813227E-3</v>
      </c>
      <c r="U20" s="2">
        <v>5304</v>
      </c>
      <c r="V20" s="1">
        <v>1.5770708644185874E-3</v>
      </c>
      <c r="W20" s="2">
        <v>5234</v>
      </c>
      <c r="X20" s="1">
        <v>1.5374095149023566E-3</v>
      </c>
      <c r="Y20" s="2">
        <v>5024</v>
      </c>
      <c r="Z20" s="1">
        <v>1.4923200765170484E-3</v>
      </c>
      <c r="AA20" s="2">
        <v>4856</v>
      </c>
      <c r="AB20" s="1">
        <v>1.4154698377543933E-3</v>
      </c>
      <c r="AC20" s="2">
        <v>4370</v>
      </c>
      <c r="AD20" s="1">
        <v>1.3623978201634877E-3</v>
      </c>
      <c r="AE20" s="2">
        <v>2841</v>
      </c>
      <c r="AF20" s="1">
        <f>Tabla3[[#This Row],[2023 Total]]/$AE$25</f>
        <v>1.0211361892318834E-3</v>
      </c>
      <c r="AG20" s="2">
        <v>2818</v>
      </c>
      <c r="AH20" s="1">
        <f>Tabla3[[#This Row],[2024 Total]]/$AG$25</f>
        <v>7.4166619073348888E-4</v>
      </c>
      <c r="AI20" s="2">
        <v>2848</v>
      </c>
      <c r="AJ20" s="1">
        <f>Tabla3[[#This Row],[2025 Total]]/$AI$25</f>
        <v>7.4313106060823508E-4</v>
      </c>
    </row>
    <row r="21" spans="1:36" x14ac:dyDescent="0.3">
      <c r="A21" t="s">
        <v>16</v>
      </c>
      <c r="B21" t="s">
        <v>60</v>
      </c>
      <c r="C21" s="2">
        <v>92086</v>
      </c>
      <c r="D21" s="1">
        <v>2.8012024187086714E-2</v>
      </c>
      <c r="E21" s="2">
        <v>90706</v>
      </c>
      <c r="F21" s="1">
        <v>2.793544536379276E-2</v>
      </c>
      <c r="G21" s="2">
        <v>88410</v>
      </c>
      <c r="H21" s="1">
        <v>2.7669542846949027E-2</v>
      </c>
      <c r="I21" s="2">
        <v>86983</v>
      </c>
      <c r="J21" s="1">
        <v>2.7675785127753483E-2</v>
      </c>
      <c r="K21" s="2">
        <v>86529</v>
      </c>
      <c r="L21" s="1">
        <v>2.7805815284088226E-2</v>
      </c>
      <c r="M21" s="2">
        <v>89734</v>
      </c>
      <c r="N21" s="1">
        <v>2.8218735927425138E-2</v>
      </c>
      <c r="O21" s="2">
        <v>91887</v>
      </c>
      <c r="P21" s="1">
        <v>2.8424174669765826E-2</v>
      </c>
      <c r="Q21" s="2">
        <v>93418</v>
      </c>
      <c r="R21" s="1">
        <v>2.8488740881699968E-2</v>
      </c>
      <c r="S21" s="2">
        <v>95441</v>
      </c>
      <c r="T21" s="1">
        <v>2.8614533236313574E-2</v>
      </c>
      <c r="U21" s="2">
        <v>95456</v>
      </c>
      <c r="V21" s="1">
        <v>2.8382518181361366E-2</v>
      </c>
      <c r="W21" s="2">
        <v>96764</v>
      </c>
      <c r="X21" s="1">
        <v>2.842298324417494E-2</v>
      </c>
      <c r="Y21" s="2">
        <v>95294</v>
      </c>
      <c r="Z21" s="1">
        <v>2.830596126027381E-2</v>
      </c>
      <c r="AA21" s="2">
        <v>97014</v>
      </c>
      <c r="AB21" s="1">
        <v>2.8278498937377411E-2</v>
      </c>
      <c r="AC21" s="2">
        <v>91290</v>
      </c>
      <c r="AD21" s="1">
        <v>2.8460708696275698E-2</v>
      </c>
      <c r="AE21" s="2">
        <v>207774</v>
      </c>
      <c r="AF21" s="1">
        <f>Tabla3[[#This Row],[2023 Total]]/$AE$25</f>
        <v>7.4679884048386255E-2</v>
      </c>
      <c r="AG21" s="2">
        <v>206784</v>
      </c>
      <c r="AH21" s="1">
        <f>Tabla3[[#This Row],[2024 Total]]/$AG$25</f>
        <v>5.442324399738601E-2</v>
      </c>
      <c r="AI21" s="2">
        <v>207931</v>
      </c>
      <c r="AJ21" s="1">
        <f>Tabla3[[#This Row],[2025 Total]]/$AI$25</f>
        <v>5.4255612557349342E-2</v>
      </c>
    </row>
    <row r="22" spans="1:36" x14ac:dyDescent="0.3">
      <c r="A22" s="6" t="s">
        <v>17</v>
      </c>
      <c r="B22" t="s">
        <v>60</v>
      </c>
      <c r="C22" s="2">
        <v>42268</v>
      </c>
      <c r="D22" s="1">
        <v>1.2857679108005357E-2</v>
      </c>
      <c r="E22" s="2">
        <v>41465</v>
      </c>
      <c r="F22" s="1">
        <v>1.2770304522409397E-2</v>
      </c>
      <c r="G22" s="2">
        <v>41219</v>
      </c>
      <c r="H22" s="1">
        <v>1.2900247558063476E-2</v>
      </c>
      <c r="I22" s="2">
        <v>40759</v>
      </c>
      <c r="J22" s="1">
        <v>1.2968480346988541E-2</v>
      </c>
      <c r="K22" s="2">
        <v>41430</v>
      </c>
      <c r="L22" s="1">
        <v>1.3313396979276025E-2</v>
      </c>
      <c r="M22" s="2">
        <v>42948</v>
      </c>
      <c r="N22" s="1">
        <v>1.3505898217075521E-2</v>
      </c>
      <c r="O22" s="2">
        <v>43812</v>
      </c>
      <c r="P22" s="1">
        <v>1.3552732602346147E-2</v>
      </c>
      <c r="Q22" s="2">
        <v>44015</v>
      </c>
      <c r="R22" s="1">
        <v>1.3422808558393715E-2</v>
      </c>
      <c r="S22" s="2">
        <v>44095</v>
      </c>
      <c r="T22" s="1">
        <v>1.3220291520994614E-2</v>
      </c>
      <c r="U22" s="2">
        <v>44224</v>
      </c>
      <c r="V22" s="1">
        <v>1.3149393270748041E-2</v>
      </c>
      <c r="W22" s="2">
        <v>44430</v>
      </c>
      <c r="X22" s="1">
        <v>1.3050650505753096E-2</v>
      </c>
      <c r="Y22" s="2">
        <v>44334</v>
      </c>
      <c r="Z22" s="1">
        <v>1.3168892968213939E-2</v>
      </c>
      <c r="AA22" s="2">
        <v>45738</v>
      </c>
      <c r="AB22" s="1">
        <v>1.3332116853214671E-2</v>
      </c>
      <c r="AC22" s="2">
        <v>41152</v>
      </c>
      <c r="AD22" s="1">
        <v>1.2829609861640239E-2</v>
      </c>
      <c r="AE22" s="2">
        <v>51228</v>
      </c>
      <c r="AF22" s="1">
        <f>Tabla3[[#This Row],[2023 Total]]/$AE$25</f>
        <v>1.8412799965494869E-2</v>
      </c>
      <c r="AG22" s="2">
        <v>50766</v>
      </c>
      <c r="AH22" s="1">
        <f>Tabla3[[#This Row],[2024 Total]]/$AG$25</f>
        <v>1.3361045365073208E-2</v>
      </c>
      <c r="AI22" s="2">
        <v>51340</v>
      </c>
      <c r="AJ22" s="1">
        <f>Tabla3[[#This Row],[2025 Total]]/$AI$25</f>
        <v>1.3396189835543113E-2</v>
      </c>
    </row>
    <row r="23" spans="1:36" x14ac:dyDescent="0.3">
      <c r="A23" t="s">
        <v>18</v>
      </c>
      <c r="B23" t="s">
        <v>60</v>
      </c>
      <c r="C23" s="2">
        <v>169206</v>
      </c>
      <c r="D23" s="1">
        <v>5.1471478450580921E-2</v>
      </c>
      <c r="E23" s="2">
        <v>165055</v>
      </c>
      <c r="F23" s="1">
        <v>5.0833295862686194E-2</v>
      </c>
      <c r="G23" s="2">
        <v>158538</v>
      </c>
      <c r="H23" s="1">
        <v>4.961739603969692E-2</v>
      </c>
      <c r="I23" s="2">
        <v>153246</v>
      </c>
      <c r="J23" s="1">
        <v>4.8758991615461759E-2</v>
      </c>
      <c r="K23" s="2">
        <v>148542</v>
      </c>
      <c r="L23" s="1">
        <v>4.7733492978412242E-2</v>
      </c>
      <c r="M23" s="2">
        <v>148041</v>
      </c>
      <c r="N23" s="1">
        <v>4.6554593414223647E-2</v>
      </c>
      <c r="O23" s="2">
        <v>150434</v>
      </c>
      <c r="P23" s="1">
        <v>4.653500813250571E-2</v>
      </c>
      <c r="Q23" s="2">
        <v>139958</v>
      </c>
      <c r="R23" s="1">
        <v>4.2681573104979387E-2</v>
      </c>
      <c r="S23" s="2">
        <v>144044</v>
      </c>
      <c r="T23" s="1">
        <v>4.3186385573197601E-2</v>
      </c>
      <c r="U23" s="2">
        <v>142198</v>
      </c>
      <c r="V23" s="1">
        <v>4.2280603842118077E-2</v>
      </c>
      <c r="W23" s="2">
        <v>143028</v>
      </c>
      <c r="X23" s="1">
        <v>4.2012343923854466E-2</v>
      </c>
      <c r="Y23" s="2">
        <v>139824</v>
      </c>
      <c r="Z23" s="1">
        <v>4.1533073721918751E-2</v>
      </c>
      <c r="AA23" s="2">
        <v>142904</v>
      </c>
      <c r="AB23" s="1">
        <v>4.1654922095233485E-2</v>
      </c>
      <c r="AC23" s="2">
        <v>134859</v>
      </c>
      <c r="AD23" s="1">
        <v>4.2043846139457164E-2</v>
      </c>
      <c r="AE23" s="2">
        <v>188509</v>
      </c>
      <c r="AF23" s="1">
        <f>Tabla3[[#This Row],[2023 Total]]/$AE$25</f>
        <v>6.7755495211514652E-2</v>
      </c>
      <c r="AG23" s="2">
        <v>187027</v>
      </c>
      <c r="AH23" s="1">
        <f>Tabla3[[#This Row],[2024 Total]]/$AG$25</f>
        <v>4.9223421807775808E-2</v>
      </c>
      <c r="AI23" s="2">
        <v>188678</v>
      </c>
      <c r="AJ23" s="1">
        <f>Tabla3[[#This Row],[2025 Total]]/$AI$25</f>
        <v>4.9231910903595702E-2</v>
      </c>
    </row>
    <row r="24" spans="1:36" x14ac:dyDescent="0.3">
      <c r="A24" s="6" t="s">
        <v>19</v>
      </c>
      <c r="B24" t="s">
        <v>60</v>
      </c>
      <c r="C24" s="2">
        <v>23106</v>
      </c>
      <c r="D24" s="1">
        <v>7.0287104539976282E-3</v>
      </c>
      <c r="E24" s="2">
        <v>22727</v>
      </c>
      <c r="F24" s="1">
        <v>6.9994142259929672E-3</v>
      </c>
      <c r="G24" s="2">
        <v>22424</v>
      </c>
      <c r="H24" s="1">
        <v>7.0180050763486591E-3</v>
      </c>
      <c r="I24" s="2">
        <v>22256</v>
      </c>
      <c r="J24" s="1">
        <v>7.0812948944423797E-3</v>
      </c>
      <c r="K24" s="2">
        <v>22195</v>
      </c>
      <c r="L24" s="1">
        <v>7.1322917198897266E-3</v>
      </c>
      <c r="M24" s="2">
        <v>22980</v>
      </c>
      <c r="N24" s="1">
        <v>7.2265423542049794E-3</v>
      </c>
      <c r="O24" s="2">
        <v>23003</v>
      </c>
      <c r="P24" s="1">
        <v>7.1157104914582395E-3</v>
      </c>
      <c r="Q24" s="2">
        <v>23097</v>
      </c>
      <c r="R24" s="1">
        <v>7.043658054600015E-3</v>
      </c>
      <c r="S24" s="2">
        <v>23154</v>
      </c>
      <c r="T24" s="1">
        <v>6.9418897806352037E-3</v>
      </c>
      <c r="U24" s="2">
        <v>22669</v>
      </c>
      <c r="V24" s="1">
        <v>6.7403128630288385E-3</v>
      </c>
      <c r="W24" s="2">
        <v>22700</v>
      </c>
      <c r="X24" s="1">
        <v>6.6677867765157616E-3</v>
      </c>
      <c r="Y24" s="2">
        <v>22357</v>
      </c>
      <c r="Z24" s="1">
        <v>6.6408837481472241E-3</v>
      </c>
      <c r="AA24" s="2">
        <v>22532</v>
      </c>
      <c r="AB24" s="1">
        <v>6.5678266853957962E-3</v>
      </c>
      <c r="AC24" s="2">
        <v>21178</v>
      </c>
      <c r="AD24" s="1">
        <v>6.602485362796875E-3</v>
      </c>
      <c r="AE24" s="2">
        <v>25860</v>
      </c>
      <c r="AF24" s="1">
        <f>Tabla3[[#This Row],[2023 Total]]/$AE$25</f>
        <v>9.2948193782247477E-3</v>
      </c>
      <c r="AG24" s="2">
        <v>25454</v>
      </c>
      <c r="AH24" s="1">
        <f>Tabla3[[#This Row],[2024 Total]]/$AG$25</f>
        <v>6.6992090911746722E-3</v>
      </c>
      <c r="AI24" s="2">
        <v>25830</v>
      </c>
      <c r="AJ24" s="1">
        <f>Tabla3[[#This Row],[2025 Total]]/$AI$25</f>
        <v>6.7398438537607831E-3</v>
      </c>
    </row>
    <row r="25" spans="1:36" x14ac:dyDescent="0.3">
      <c r="A25" s="8" t="s">
        <v>20</v>
      </c>
      <c r="B25" s="9" t="s">
        <v>60</v>
      </c>
      <c r="C25" s="10">
        <v>3287374</v>
      </c>
      <c r="D25" s="11">
        <v>1</v>
      </c>
      <c r="E25" s="10">
        <v>3246986</v>
      </c>
      <c r="F25" s="11">
        <v>1</v>
      </c>
      <c r="G25" s="10">
        <v>3195210</v>
      </c>
      <c r="H25" s="11">
        <v>1</v>
      </c>
      <c r="I25" s="10">
        <v>3142928</v>
      </c>
      <c r="J25" s="11">
        <v>1</v>
      </c>
      <c r="K25" s="10">
        <v>3111903</v>
      </c>
      <c r="L25" s="11">
        <v>1</v>
      </c>
      <c r="M25" s="10">
        <v>3179944</v>
      </c>
      <c r="N25" s="11">
        <v>1</v>
      </c>
      <c r="O25" s="10">
        <v>3232706</v>
      </c>
      <c r="P25" s="11">
        <v>1</v>
      </c>
      <c r="Q25" s="10">
        <v>3279120</v>
      </c>
      <c r="R25" s="11">
        <v>1</v>
      </c>
      <c r="S25" s="10">
        <v>3335403</v>
      </c>
      <c r="T25" s="11">
        <v>1</v>
      </c>
      <c r="U25" s="10">
        <v>3363197</v>
      </c>
      <c r="V25" s="11">
        <v>1</v>
      </c>
      <c r="W25" s="10">
        <v>3404428</v>
      </c>
      <c r="X25" s="11">
        <v>1</v>
      </c>
      <c r="Y25" s="10">
        <v>3366570</v>
      </c>
      <c r="Z25" s="11">
        <v>1</v>
      </c>
      <c r="AA25" s="10">
        <v>3430663</v>
      </c>
      <c r="AB25" s="11">
        <v>1</v>
      </c>
      <c r="AC25" s="10">
        <v>3207580</v>
      </c>
      <c r="AD25" s="11">
        <v>1</v>
      </c>
      <c r="AE25" s="10">
        <v>2782195</v>
      </c>
      <c r="AF25" s="11">
        <v>1</v>
      </c>
      <c r="AG25" s="10">
        <v>3799553</v>
      </c>
      <c r="AH25" s="11">
        <v>1</v>
      </c>
      <c r="AI25" s="10">
        <v>3832433</v>
      </c>
      <c r="AJ25" s="1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Lopez [EXT]</dc:creator>
  <cp:lastModifiedBy>LUIS MARTINEZ ZAMORA</cp:lastModifiedBy>
  <dcterms:created xsi:type="dcterms:W3CDTF">2025-11-08T11:28:19Z</dcterms:created>
  <dcterms:modified xsi:type="dcterms:W3CDTF">2025-11-08T21:00:25Z</dcterms:modified>
</cp:coreProperties>
</file>